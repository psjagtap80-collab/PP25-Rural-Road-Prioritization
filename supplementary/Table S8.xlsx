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Personal\Thesis wrting 2 Jan 2026\New Research paper 10 Dec 25\New reraech paper 3Feb 2026\ASCE\Supplimentary Table\"/>
    </mc:Choice>
  </mc:AlternateContent>
  <xr:revisionPtr revIDLastSave="0" documentId="13_ncr:1_{C014A2C4-082D-4BF3-91DD-79D3A7CED7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Hlk217673338" localSheetId="0">Sheet1!$D$2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1" l="1"/>
  <c r="G36" i="1"/>
</calcChain>
</file>

<file path=xl/sharedStrings.xml><?xml version="1.0" encoding="utf-8"?>
<sst xmlns="http://schemas.openxmlformats.org/spreadsheetml/2006/main" count="21" uniqueCount="16">
  <si>
    <r>
      <t xml:space="preserve">Table S8:    </t>
    </r>
    <r>
      <rPr>
        <sz val="11"/>
        <color theme="1"/>
        <rFont val="Calibri"/>
        <family val="2"/>
        <scheme val="minor"/>
      </rPr>
      <t>Details of Pierson Coefficient Calculation</t>
    </r>
    <r>
      <rPr>
        <b/>
        <sz val="11"/>
        <color theme="1"/>
        <rFont val="Calibri"/>
        <family val="2"/>
        <scheme val="minor"/>
      </rPr>
      <t xml:space="preserve">                         </t>
    </r>
  </si>
  <si>
    <r>
      <t>NPI Value (X</t>
    </r>
    <r>
      <rPr>
        <b/>
        <vertAlign val="subscript"/>
        <sz val="11"/>
        <color rgb="FF000000"/>
        <rFont val="Calibri"/>
        <family val="2"/>
        <scheme val="minor"/>
      </rPr>
      <t>i</t>
    </r>
    <r>
      <rPr>
        <b/>
        <sz val="11"/>
        <color rgb="FF000000"/>
        <rFont val="Calibri"/>
        <family val="2"/>
        <scheme val="minor"/>
      </rPr>
      <t>)</t>
    </r>
  </si>
  <si>
    <r>
      <t>Utility Value (Y</t>
    </r>
    <r>
      <rPr>
        <b/>
        <vertAlign val="subscript"/>
        <sz val="11"/>
        <color rgb="FF000000"/>
        <rFont val="Calibri"/>
        <family val="2"/>
        <scheme val="minor"/>
      </rPr>
      <t>i</t>
    </r>
    <r>
      <rPr>
        <b/>
        <sz val="11"/>
        <color rgb="FF000000"/>
        <rFont val="Calibri"/>
        <family val="2"/>
        <scheme val="minor"/>
      </rPr>
      <t>)</t>
    </r>
  </si>
  <si>
    <r>
      <t>(X</t>
    </r>
    <r>
      <rPr>
        <b/>
        <vertAlign val="subscript"/>
        <sz val="11"/>
        <color rgb="FF000000"/>
        <rFont val="Calibri"/>
        <family val="2"/>
        <scheme val="minor"/>
      </rPr>
      <t>i</t>
    </r>
    <r>
      <rPr>
        <b/>
        <sz val="11"/>
        <color rgb="FF000000"/>
        <rFont val="Calibri"/>
        <family val="2"/>
        <scheme val="minor"/>
      </rPr>
      <t>-</t>
    </r>
  </si>
  <si>
    <t>)</t>
  </si>
  <si>
    <r>
      <t>)</t>
    </r>
    <r>
      <rPr>
        <b/>
        <vertAlign val="superscript"/>
        <sz val="11"/>
        <color rgb="FF000000"/>
        <rFont val="Calibri"/>
        <family val="2"/>
        <scheme val="minor"/>
      </rPr>
      <t>2</t>
    </r>
  </si>
  <si>
    <r>
      <t>(Y</t>
    </r>
    <r>
      <rPr>
        <b/>
        <vertAlign val="subscript"/>
        <sz val="11"/>
        <color rgb="FF000000"/>
        <rFont val="Calibri"/>
        <family val="2"/>
        <scheme val="minor"/>
      </rPr>
      <t>i</t>
    </r>
    <r>
      <rPr>
        <b/>
        <sz val="11"/>
        <color rgb="FF000000"/>
        <rFont val="Calibri"/>
        <family val="2"/>
        <scheme val="minor"/>
      </rPr>
      <t>-</t>
    </r>
  </si>
  <si>
    <r>
      <t>)* (Y</t>
    </r>
    <r>
      <rPr>
        <b/>
        <vertAlign val="subscript"/>
        <sz val="11"/>
        <color rgb="FF000000"/>
        <rFont val="Calibri"/>
        <family val="2"/>
        <scheme val="minor"/>
      </rPr>
      <t>i</t>
    </r>
    <r>
      <rPr>
        <b/>
        <sz val="11"/>
        <color rgb="FF000000"/>
        <rFont val="Calibri"/>
        <family val="2"/>
        <scheme val="minor"/>
      </rPr>
      <t>-</t>
    </r>
  </si>
  <si>
    <r>
      <t xml:space="preserve"> X</t>
    </r>
    <r>
      <rPr>
        <b/>
        <vertAlign val="subscript"/>
        <sz val="11"/>
        <color rgb="FF000000"/>
        <rFont val="Calibri"/>
        <family val="2"/>
        <scheme val="minor"/>
      </rPr>
      <t>i</t>
    </r>
    <r>
      <rPr>
        <b/>
        <sz val="11"/>
        <color rgb="FF000000"/>
        <rFont val="Calibri"/>
        <family val="2"/>
        <scheme val="minor"/>
      </rPr>
      <t xml:space="preserve"> = 152.36515</t>
    </r>
  </si>
  <si>
    <r>
      <t xml:space="preserve"> Y</t>
    </r>
    <r>
      <rPr>
        <b/>
        <vertAlign val="subscript"/>
        <sz val="11"/>
        <color rgb="FF000000"/>
        <rFont val="Calibri"/>
        <family val="2"/>
        <scheme val="minor"/>
      </rPr>
      <t>i</t>
    </r>
    <r>
      <rPr>
        <b/>
        <sz val="11"/>
        <color rgb="FF000000"/>
        <rFont val="Calibri"/>
        <family val="2"/>
        <scheme val="minor"/>
      </rPr>
      <t xml:space="preserve"> = 260.68</t>
    </r>
  </si>
  <si>
    <r>
      <t xml:space="preserve"> (X</t>
    </r>
    <r>
      <rPr>
        <b/>
        <vertAlign val="subscript"/>
        <sz val="11"/>
        <color rgb="FF000000"/>
        <rFont val="Calibri"/>
        <family val="2"/>
        <scheme val="minor"/>
      </rPr>
      <t>i</t>
    </r>
    <r>
      <rPr>
        <b/>
        <sz val="11"/>
        <color rgb="FF000000"/>
        <rFont val="Calibri"/>
        <family val="2"/>
        <scheme val="minor"/>
      </rPr>
      <t xml:space="preserve"> -</t>
    </r>
  </si>
  <si>
    <r>
      <t xml:space="preserve"> (Y</t>
    </r>
    <r>
      <rPr>
        <b/>
        <vertAlign val="subscript"/>
        <sz val="11"/>
        <color rgb="FF000000"/>
        <rFont val="Calibri"/>
        <family val="2"/>
        <scheme val="minor"/>
      </rPr>
      <t>i</t>
    </r>
    <r>
      <rPr>
        <b/>
        <sz val="11"/>
        <color rgb="FF000000"/>
        <rFont val="Calibri"/>
        <family val="2"/>
        <scheme val="minor"/>
      </rPr>
      <t xml:space="preserve"> -</t>
    </r>
  </si>
  <si>
    <r>
      <t xml:space="preserve"> = </t>
    </r>
    <r>
      <rPr>
        <b/>
        <sz val="11"/>
        <color theme="1"/>
        <rFont val="Calibri"/>
        <family val="2"/>
        <scheme val="minor"/>
      </rPr>
      <t>6.094606</t>
    </r>
  </si>
  <si>
    <r>
      <t xml:space="preserve"> = </t>
    </r>
    <r>
      <rPr>
        <b/>
        <sz val="11"/>
        <color theme="1"/>
        <rFont val="Calibri"/>
        <family val="2"/>
        <scheme val="minor"/>
      </rPr>
      <t>10.43</t>
    </r>
  </si>
  <si>
    <t xml:space="preserve"> </t>
  </si>
  <si>
    <r>
      <t>X</t>
    </r>
    <r>
      <rPr>
        <b/>
        <vertAlign val="subscript"/>
        <sz val="11"/>
        <color rgb="FF000000"/>
        <rFont val="Calibri"/>
        <family val="2"/>
        <scheme val="minor"/>
      </rPr>
      <t>i</t>
    </r>
    <r>
      <rPr>
        <b/>
        <sz val="11"/>
        <color rgb="FF000000"/>
        <rFont val="Calibri"/>
        <family val="2"/>
        <scheme val="minor"/>
      </rPr>
      <t>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</si>
</sst>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vertAlign val="subscript"/>
      <sz val="11"/>
      <color rgb="FF000000"/>
      <name val="Calibri"/>
      <family val="2"/>
      <scheme val="minor"/>
    </font>
    <font>
      <b/>
      <vertAlign val="superscript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0" fillId="0" borderId="6" xfId="0" applyBorder="1" applyAlignment="1">
      <alignment vertical="top" wrapText="1"/>
    </xf>
    <xf numFmtId="0" fontId="2" fillId="0" borderId="6" xfId="0" applyFont="1" applyBorder="1" applyAlignment="1">
      <alignment horizontal="justify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3</xdr:row>
      <xdr:rowOff>50800</xdr:rowOff>
    </xdr:from>
    <xdr:to>
      <xdr:col>3</xdr:col>
      <xdr:colOff>317500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9596CC-3A99-0AEB-B8B6-731BB8988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2600" y="609600"/>
          <a:ext cx="88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228600</xdr:colOff>
      <xdr:row>3</xdr:row>
      <xdr:rowOff>44450</xdr:rowOff>
    </xdr:from>
    <xdr:to>
      <xdr:col>4</xdr:col>
      <xdr:colOff>317500</xdr:colOff>
      <xdr:row>4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8AF9CC-5755-42DC-1A48-5D051C689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9400" y="603250"/>
          <a:ext cx="88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254000</xdr:colOff>
      <xdr:row>3</xdr:row>
      <xdr:rowOff>50800</xdr:rowOff>
    </xdr:from>
    <xdr:to>
      <xdr:col>5</xdr:col>
      <xdr:colOff>342900</xdr:colOff>
      <xdr:row>4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46277E-94B7-3219-7B19-D6AD1119E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4450" y="609600"/>
          <a:ext cx="88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209550</xdr:colOff>
      <xdr:row>3</xdr:row>
      <xdr:rowOff>44450</xdr:rowOff>
    </xdr:from>
    <xdr:to>
      <xdr:col>6</xdr:col>
      <xdr:colOff>298450</xdr:colOff>
      <xdr:row>4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1B90EF-DEFB-03E8-2FD9-A71847FAE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6150" y="603250"/>
          <a:ext cx="88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234950</xdr:colOff>
      <xdr:row>3</xdr:row>
      <xdr:rowOff>57150</xdr:rowOff>
    </xdr:from>
    <xdr:to>
      <xdr:col>7</xdr:col>
      <xdr:colOff>323850</xdr:colOff>
      <xdr:row>4</xdr:row>
      <xdr:rowOff>25400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E1BBBC-BD29-A42E-F5A3-EFB5966E6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1150" y="615950"/>
          <a:ext cx="88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400050</xdr:colOff>
      <xdr:row>4</xdr:row>
      <xdr:rowOff>50800</xdr:rowOff>
    </xdr:from>
    <xdr:to>
      <xdr:col>7</xdr:col>
      <xdr:colOff>488950</xdr:colOff>
      <xdr:row>5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7C31B43-87F6-62ED-2522-4160A3B42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0" y="819150"/>
          <a:ext cx="88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101600</xdr:colOff>
      <xdr:row>31</xdr:row>
      <xdr:rowOff>177800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D49FD00-2B5C-5C76-5DB5-77BCEA300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0900"/>
          <a:ext cx="1016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101600</xdr:colOff>
      <xdr:row>31</xdr:row>
      <xdr:rowOff>177800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195658E-6711-C5AC-B44D-7537825D1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30900"/>
          <a:ext cx="1016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101600</xdr:colOff>
      <xdr:row>31</xdr:row>
      <xdr:rowOff>177800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13E1C69-1D6A-E822-6490-3C705C066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930900"/>
          <a:ext cx="1016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7</xdr:col>
      <xdr:colOff>241300</xdr:colOff>
      <xdr:row>32</xdr:row>
      <xdr:rowOff>177800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F905DA9-7AD5-DD80-4EC3-E6C6D18DA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140450"/>
          <a:ext cx="2413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7</xdr:col>
      <xdr:colOff>285750</xdr:colOff>
      <xdr:row>33</xdr:row>
      <xdr:rowOff>177800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E0E7910-6BD5-1587-4E1C-9856CB802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350000"/>
          <a:ext cx="28575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88900</xdr:colOff>
      <xdr:row>34</xdr:row>
      <xdr:rowOff>177800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5F0D098-4DDD-25C2-4C57-FBBA6842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40500"/>
          <a:ext cx="88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2</xdr:col>
      <xdr:colOff>88900</xdr:colOff>
      <xdr:row>34</xdr:row>
      <xdr:rowOff>177800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F1DFEFB-D77F-2E74-AC9C-1663F50B7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540500"/>
          <a:ext cx="88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34</xdr:row>
      <xdr:rowOff>0</xdr:rowOff>
    </xdr:from>
    <xdr:to>
      <xdr:col>4</xdr:col>
      <xdr:colOff>101600</xdr:colOff>
      <xdr:row>34</xdr:row>
      <xdr:rowOff>177800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E063772-CBD6-BAB1-920D-ECCCE4BAA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40500"/>
          <a:ext cx="1016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4</xdr:col>
      <xdr:colOff>596900</xdr:colOff>
      <xdr:row>35</xdr:row>
      <xdr:rowOff>184150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7E3E028-9C37-73B6-D8D1-540FDDCD0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24650"/>
          <a:ext cx="5969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101600</xdr:colOff>
      <xdr:row>34</xdr:row>
      <xdr:rowOff>177800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7846D12-1BCD-A25A-463E-0911A65C3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540500"/>
          <a:ext cx="1016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596900</xdr:colOff>
      <xdr:row>35</xdr:row>
      <xdr:rowOff>184150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5D1F7A6-9BEB-6C36-462E-7F25EA50B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724650"/>
          <a:ext cx="5969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6"/>
  <sheetViews>
    <sheetView tabSelected="1" topLeftCell="A34" workbookViewId="0">
      <selection activeCell="H35" sqref="H35:H36"/>
    </sheetView>
  </sheetViews>
  <sheetFormatPr defaultRowHeight="14.5" x14ac:dyDescent="0.35"/>
  <cols>
    <col min="2" max="2" width="15.26953125" customWidth="1"/>
    <col min="3" max="3" width="16" customWidth="1"/>
    <col min="4" max="4" width="15.26953125" customWidth="1"/>
    <col min="5" max="5" width="12.36328125" customWidth="1"/>
    <col min="6" max="6" width="13.7265625" customWidth="1"/>
    <col min="8" max="8" width="18.08984375" customWidth="1"/>
  </cols>
  <sheetData>
    <row r="2" spans="2:8" x14ac:dyDescent="0.35">
      <c r="D2" s="1" t="s">
        <v>0</v>
      </c>
    </row>
    <row r="3" spans="2:8" ht="15" thickBot="1" x14ac:dyDescent="0.4"/>
    <row r="4" spans="2:8" ht="16.5" x14ac:dyDescent="0.35">
      <c r="B4" s="16" t="s">
        <v>1</v>
      </c>
      <c r="C4" s="16" t="s">
        <v>2</v>
      </c>
      <c r="D4" s="2" t="s">
        <v>15</v>
      </c>
      <c r="E4" s="2" t="s">
        <v>3</v>
      </c>
      <c r="F4" s="2" t="s">
        <v>6</v>
      </c>
      <c r="G4" s="2" t="s">
        <v>6</v>
      </c>
      <c r="H4" s="2" t="s">
        <v>3</v>
      </c>
    </row>
    <row r="5" spans="2:8" ht="16.5" x14ac:dyDescent="0.35">
      <c r="B5" s="17"/>
      <c r="C5" s="17"/>
      <c r="D5" s="3"/>
      <c r="E5" s="3" t="s">
        <v>5</v>
      </c>
      <c r="F5" s="3" t="s">
        <v>4</v>
      </c>
      <c r="G5" s="3" t="s">
        <v>5</v>
      </c>
      <c r="H5" s="3" t="s">
        <v>7</v>
      </c>
    </row>
    <row r="6" spans="2:8" ht="15" thickBot="1" x14ac:dyDescent="0.4">
      <c r="B6" s="18"/>
      <c r="C6" s="18"/>
      <c r="D6" s="4"/>
      <c r="E6" s="4"/>
      <c r="F6" s="4"/>
      <c r="G6" s="4"/>
      <c r="H6" s="5" t="s">
        <v>4</v>
      </c>
    </row>
    <row r="7" spans="2:8" ht="15" thickBot="1" x14ac:dyDescent="0.4">
      <c r="B7" s="6">
        <v>50.720129999999997</v>
      </c>
      <c r="C7" s="8">
        <v>46.854900000000001</v>
      </c>
      <c r="D7" s="8">
        <v>44.625523999999999</v>
      </c>
      <c r="E7" s="8">
        <v>1991.4373900000001</v>
      </c>
      <c r="F7" s="7">
        <v>36.424900000000001</v>
      </c>
      <c r="G7" s="8">
        <v>1326.77334</v>
      </c>
      <c r="H7" s="7">
        <v>1625.480249</v>
      </c>
    </row>
    <row r="8" spans="2:8" ht="15" thickBot="1" x14ac:dyDescent="0.4">
      <c r="B8" s="6">
        <v>24.55294</v>
      </c>
      <c r="C8" s="8">
        <v>36.946669999999997</v>
      </c>
      <c r="D8" s="8">
        <v>18.458334000000001</v>
      </c>
      <c r="E8" s="8">
        <v>340.71009400000003</v>
      </c>
      <c r="F8" s="7">
        <v>26.516670000000001</v>
      </c>
      <c r="G8" s="8">
        <v>703.13378799999998</v>
      </c>
      <c r="H8" s="7">
        <v>489.45355139999998</v>
      </c>
    </row>
    <row r="9" spans="2:8" ht="15" thickBot="1" x14ac:dyDescent="0.4">
      <c r="B9" s="6">
        <v>15.71</v>
      </c>
      <c r="C9" s="8">
        <v>32.941180000000003</v>
      </c>
      <c r="D9" s="8">
        <v>9.6153940000000002</v>
      </c>
      <c r="E9" s="8">
        <v>92.455801800000003</v>
      </c>
      <c r="F9" s="7">
        <v>22.51118</v>
      </c>
      <c r="G9" s="8">
        <v>506.75322499999999</v>
      </c>
      <c r="H9" s="7">
        <v>216.4538651</v>
      </c>
    </row>
    <row r="10" spans="2:8" ht="15" thickBot="1" x14ac:dyDescent="0.4">
      <c r="B10" s="6">
        <v>12.3</v>
      </c>
      <c r="C10" s="8">
        <v>28.707689999999999</v>
      </c>
      <c r="D10" s="8">
        <v>6.2053940000000001</v>
      </c>
      <c r="E10" s="8">
        <v>38.506914700000003</v>
      </c>
      <c r="F10" s="7">
        <v>18.27769</v>
      </c>
      <c r="G10" s="8">
        <v>334.07395200000002</v>
      </c>
      <c r="H10" s="7">
        <v>113.4202679</v>
      </c>
    </row>
    <row r="11" spans="2:8" ht="15" thickBot="1" x14ac:dyDescent="0.4">
      <c r="B11" s="6">
        <v>9</v>
      </c>
      <c r="C11" s="8">
        <v>20</v>
      </c>
      <c r="D11" s="8">
        <v>2.9053939999999998</v>
      </c>
      <c r="E11" s="8">
        <v>8.4413143000000002</v>
      </c>
      <c r="F11" s="7">
        <v>9.57</v>
      </c>
      <c r="G11" s="8">
        <v>91.584900000000005</v>
      </c>
      <c r="H11" s="7">
        <v>27.804620580000002</v>
      </c>
    </row>
    <row r="12" spans="2:8" ht="15" thickBot="1" x14ac:dyDescent="0.4">
      <c r="B12" s="6">
        <v>5.2750000000000004</v>
      </c>
      <c r="C12" s="8">
        <v>10.64667</v>
      </c>
      <c r="D12" s="8">
        <v>-0.81960599999999995</v>
      </c>
      <c r="E12" s="8">
        <v>0.67175399999999996</v>
      </c>
      <c r="F12" s="7">
        <v>0.21667</v>
      </c>
      <c r="G12" s="8">
        <v>4.6945889999999997E-2</v>
      </c>
      <c r="H12" s="7">
        <v>-0.177584032</v>
      </c>
    </row>
    <row r="13" spans="2:8" ht="15" thickBot="1" x14ac:dyDescent="0.4">
      <c r="B13" s="6">
        <v>4.24709</v>
      </c>
      <c r="C13" s="8">
        <v>10.366669999999999</v>
      </c>
      <c r="D13" s="8">
        <v>-1.8475159999999999</v>
      </c>
      <c r="E13" s="8">
        <v>3.4133153699999998</v>
      </c>
      <c r="F13" s="7">
        <v>-6.3329999999999997E-2</v>
      </c>
      <c r="G13" s="8">
        <v>4.0106899999999999E-3</v>
      </c>
      <c r="H13" s="7">
        <v>0.11700318799999999</v>
      </c>
    </row>
    <row r="14" spans="2:8" ht="15" thickBot="1" x14ac:dyDescent="0.4">
      <c r="B14" s="6">
        <v>3.2633299999999998</v>
      </c>
      <c r="C14" s="8">
        <v>10.35111</v>
      </c>
      <c r="D14" s="8">
        <v>-2.8312759999999999</v>
      </c>
      <c r="E14" s="8">
        <v>8.01612379</v>
      </c>
      <c r="F14" s="7">
        <v>-7.8890000000000002E-2</v>
      </c>
      <c r="G14" s="8">
        <v>6.22363E-3</v>
      </c>
      <c r="H14" s="7">
        <v>0.223359364</v>
      </c>
    </row>
    <row r="15" spans="2:8" ht="15" thickBot="1" x14ac:dyDescent="0.4">
      <c r="B15" s="6">
        <v>3.2349999999999999</v>
      </c>
      <c r="C15" s="8">
        <v>7.3488889999999998</v>
      </c>
      <c r="D15" s="8">
        <v>-2.8596059999999999</v>
      </c>
      <c r="E15" s="8">
        <v>8.1773464800000006</v>
      </c>
      <c r="F15" s="7">
        <v>-3.0811109999999999</v>
      </c>
      <c r="G15" s="8">
        <v>9.4932449900000009</v>
      </c>
      <c r="H15" s="7">
        <v>8.8107635020000004</v>
      </c>
    </row>
    <row r="16" spans="2:8" ht="15" thickBot="1" x14ac:dyDescent="0.4">
      <c r="B16" s="6">
        <v>2.9545599999999999</v>
      </c>
      <c r="C16" s="8">
        <v>6.0933330000000003</v>
      </c>
      <c r="D16" s="8">
        <v>-3.1400459999999999</v>
      </c>
      <c r="E16" s="8">
        <v>9.8598888799999997</v>
      </c>
      <c r="F16" s="7">
        <v>-4.3366670000000003</v>
      </c>
      <c r="G16" s="8">
        <v>18.806680700000001</v>
      </c>
      <c r="H16" s="7">
        <v>13.61733387</v>
      </c>
    </row>
    <row r="17" spans="2:8" ht="15" thickBot="1" x14ac:dyDescent="0.4">
      <c r="B17" s="6">
        <v>2.6466599999999998</v>
      </c>
      <c r="C17" s="8">
        <v>5.6277780000000002</v>
      </c>
      <c r="D17" s="8">
        <v>-3.447946</v>
      </c>
      <c r="E17" s="8">
        <v>11.888331600000001</v>
      </c>
      <c r="F17" s="7">
        <v>-4.8022220000000004</v>
      </c>
      <c r="G17" s="8">
        <v>23.061336099999998</v>
      </c>
      <c r="H17" s="7">
        <v>16.55780214</v>
      </c>
    </row>
    <row r="18" spans="2:8" ht="15" thickBot="1" x14ac:dyDescent="0.4">
      <c r="B18" s="6">
        <v>2.0672999999999999</v>
      </c>
      <c r="C18" s="8">
        <v>4.862222</v>
      </c>
      <c r="D18" s="8">
        <v>-4.0273060000000003</v>
      </c>
      <c r="E18" s="8">
        <v>16.219193600000001</v>
      </c>
      <c r="F18" s="7">
        <v>-5.5677779999999997</v>
      </c>
      <c r="G18" s="8">
        <v>31.000151899999999</v>
      </c>
      <c r="H18" s="7">
        <v>22.42314575</v>
      </c>
    </row>
    <row r="19" spans="2:8" ht="15" thickBot="1" x14ac:dyDescent="0.4">
      <c r="B19" s="6">
        <v>1.835</v>
      </c>
      <c r="C19" s="8">
        <v>4.679487</v>
      </c>
      <c r="D19" s="8">
        <v>-4.2596059999999998</v>
      </c>
      <c r="E19" s="8">
        <v>18.144243299999999</v>
      </c>
      <c r="F19" s="7">
        <v>-5.7505129999999998</v>
      </c>
      <c r="G19" s="8">
        <v>33.068399800000002</v>
      </c>
      <c r="H19" s="7">
        <v>24.494919679999999</v>
      </c>
    </row>
    <row r="20" spans="2:8" ht="15" thickBot="1" x14ac:dyDescent="0.4">
      <c r="B20" s="6">
        <v>1.83256</v>
      </c>
      <c r="C20" s="8">
        <v>4.4466669999999997</v>
      </c>
      <c r="D20" s="8">
        <v>-4.2620459999999998</v>
      </c>
      <c r="E20" s="8">
        <v>18.165036099999998</v>
      </c>
      <c r="F20" s="7">
        <v>-5.983333</v>
      </c>
      <c r="G20" s="8">
        <v>35.800273799999999</v>
      </c>
      <c r="H20" s="7">
        <v>25.50124048</v>
      </c>
    </row>
    <row r="21" spans="2:8" ht="15" thickBot="1" x14ac:dyDescent="0.4">
      <c r="B21" s="6">
        <v>1.7074</v>
      </c>
      <c r="C21" s="8">
        <v>4.24</v>
      </c>
      <c r="D21" s="8">
        <v>-4.3872059999999999</v>
      </c>
      <c r="E21" s="8">
        <v>19.247576500000001</v>
      </c>
      <c r="F21" s="7">
        <v>-6.19</v>
      </c>
      <c r="G21" s="8">
        <v>38.316099999999999</v>
      </c>
      <c r="H21" s="7">
        <v>27.156805139999999</v>
      </c>
    </row>
    <row r="22" spans="2:8" ht="15" thickBot="1" x14ac:dyDescent="0.4">
      <c r="B22" s="6">
        <v>1.57</v>
      </c>
      <c r="C22" s="8">
        <v>4.04</v>
      </c>
      <c r="D22" s="8">
        <v>-4.5246060000000003</v>
      </c>
      <c r="E22" s="8">
        <v>20.4720595</v>
      </c>
      <c r="F22" s="7">
        <v>-6.39</v>
      </c>
      <c r="G22" s="8">
        <v>40.832099999999997</v>
      </c>
      <c r="H22" s="7">
        <v>28.912232339999999</v>
      </c>
    </row>
    <row r="23" spans="2:8" ht="15" thickBot="1" x14ac:dyDescent="0.4">
      <c r="B23" s="6">
        <v>1.32111</v>
      </c>
      <c r="C23" s="8">
        <v>3.7580249999999999</v>
      </c>
      <c r="D23" s="8">
        <v>-4.7734959999999997</v>
      </c>
      <c r="E23" s="8">
        <v>22.7862641</v>
      </c>
      <c r="F23" s="7">
        <v>-6.6719749999999998</v>
      </c>
      <c r="G23" s="8">
        <v>44.515250399999999</v>
      </c>
      <c r="H23" s="7">
        <v>31.84864597</v>
      </c>
    </row>
    <row r="24" spans="2:8" ht="15" thickBot="1" x14ac:dyDescent="0.4">
      <c r="B24" s="6">
        <v>1.28</v>
      </c>
      <c r="C24" s="8">
        <v>3.4866670000000002</v>
      </c>
      <c r="D24" s="8">
        <v>-4.8146060000000004</v>
      </c>
      <c r="E24" s="8">
        <v>23.180430900000001</v>
      </c>
      <c r="F24" s="7">
        <v>-6.943333</v>
      </c>
      <c r="G24" s="8">
        <v>48.209873100000003</v>
      </c>
      <c r="H24" s="7">
        <v>33.429412720000002</v>
      </c>
    </row>
    <row r="25" spans="2:8" ht="15" thickBot="1" x14ac:dyDescent="0.4">
      <c r="B25" s="6">
        <v>1.2545200000000001</v>
      </c>
      <c r="C25" s="8">
        <v>3.4337780000000002</v>
      </c>
      <c r="D25" s="8">
        <v>-4.8400860000000003</v>
      </c>
      <c r="E25" s="8">
        <v>23.426432500000001</v>
      </c>
      <c r="F25" s="7">
        <v>-6.9962220000000004</v>
      </c>
      <c r="G25" s="8">
        <v>48.947122299999997</v>
      </c>
      <c r="H25" s="7">
        <v>33.862316159999999</v>
      </c>
    </row>
    <row r="26" spans="2:8" ht="15" thickBot="1" x14ac:dyDescent="0.4">
      <c r="B26" s="6">
        <v>1.2393700000000001</v>
      </c>
      <c r="C26" s="8">
        <v>2.8202609999999999</v>
      </c>
      <c r="D26" s="8">
        <v>-4.8552359999999997</v>
      </c>
      <c r="E26" s="8">
        <v>23.573316599999998</v>
      </c>
      <c r="F26" s="7">
        <v>-7.6097390000000003</v>
      </c>
      <c r="G26" s="8">
        <v>57.9081276</v>
      </c>
      <c r="H26" s="7">
        <v>36.947078740000002</v>
      </c>
    </row>
    <row r="27" spans="2:8" ht="15" thickBot="1" x14ac:dyDescent="0.4">
      <c r="B27" s="6">
        <v>1.22</v>
      </c>
      <c r="C27" s="8">
        <v>2.6426669999999999</v>
      </c>
      <c r="D27" s="8">
        <v>-4.874606</v>
      </c>
      <c r="E27" s="8">
        <v>23.761783699999999</v>
      </c>
      <c r="F27" s="7">
        <v>-7.7873330000000003</v>
      </c>
      <c r="G27" s="8">
        <v>60.642555299999998</v>
      </c>
      <c r="H27" s="7">
        <v>37.960180170000001</v>
      </c>
    </row>
    <row r="28" spans="2:8" ht="15" thickBot="1" x14ac:dyDescent="0.4">
      <c r="B28" s="6">
        <v>1.1499699999999999</v>
      </c>
      <c r="C28" s="8">
        <v>2.057407</v>
      </c>
      <c r="D28" s="8">
        <v>-4.944636</v>
      </c>
      <c r="E28" s="8">
        <v>24.4494252</v>
      </c>
      <c r="F28" s="7">
        <v>-8.3725930000000002</v>
      </c>
      <c r="G28" s="8">
        <v>70.100313499999999</v>
      </c>
      <c r="H28" s="7">
        <v>41.399424760000002</v>
      </c>
    </row>
    <row r="29" spans="2:8" ht="15" thickBot="1" x14ac:dyDescent="0.4">
      <c r="B29" s="6">
        <v>0.88671</v>
      </c>
      <c r="C29" s="8">
        <v>1.6266670000000001</v>
      </c>
      <c r="D29" s="8">
        <v>-5.2078959999999999</v>
      </c>
      <c r="E29" s="8">
        <v>27.122180700000001</v>
      </c>
      <c r="F29" s="7">
        <v>-8.8033330000000003</v>
      </c>
      <c r="G29" s="8">
        <v>77.498671900000005</v>
      </c>
      <c r="H29" s="7">
        <v>45.846842719999998</v>
      </c>
    </row>
    <row r="30" spans="2:8" ht="15" thickBot="1" x14ac:dyDescent="0.4">
      <c r="B30" s="6">
        <v>0.78895999999999999</v>
      </c>
      <c r="C30" s="8">
        <v>1.5364580000000001</v>
      </c>
      <c r="D30" s="8">
        <v>-5.3056460000000003</v>
      </c>
      <c r="E30" s="8">
        <v>28.149879500000001</v>
      </c>
      <c r="F30" s="7">
        <v>-8.8935420000000001</v>
      </c>
      <c r="G30" s="8">
        <v>79.095089299999998</v>
      </c>
      <c r="H30" s="7">
        <v>47.185985539999997</v>
      </c>
    </row>
    <row r="31" spans="2:8" ht="15" thickBot="1" x14ac:dyDescent="0.4">
      <c r="B31" s="6">
        <v>0.30753999999999998</v>
      </c>
      <c r="C31" s="8">
        <v>1.1647799999999999</v>
      </c>
      <c r="D31" s="8">
        <v>-5.7870660000000003</v>
      </c>
      <c r="E31" s="8">
        <v>33.490132899999999</v>
      </c>
      <c r="F31" s="7">
        <v>-9.2652199999999993</v>
      </c>
      <c r="G31" s="8">
        <v>85.844301599999994</v>
      </c>
      <c r="H31" s="7">
        <v>53.618439639999998</v>
      </c>
    </row>
    <row r="32" spans="2:8" ht="16.5" x14ac:dyDescent="0.35">
      <c r="B32" s="19" t="s">
        <v>8</v>
      </c>
      <c r="C32" s="19" t="s">
        <v>9</v>
      </c>
      <c r="D32" s="11"/>
      <c r="E32" s="11"/>
      <c r="F32" s="11"/>
      <c r="G32" s="11"/>
      <c r="H32" s="9" t="s">
        <v>10</v>
      </c>
    </row>
    <row r="33" spans="2:8" ht="16.5" x14ac:dyDescent="0.35">
      <c r="B33" s="20"/>
      <c r="C33" s="20"/>
      <c r="D33" s="13"/>
      <c r="E33" s="13"/>
      <c r="F33" s="13"/>
      <c r="G33" s="13"/>
      <c r="H33" s="9" t="s">
        <v>11</v>
      </c>
    </row>
    <row r="34" spans="2:8" ht="15" thickBot="1" x14ac:dyDescent="0.4">
      <c r="B34" s="21"/>
      <c r="C34" s="21"/>
      <c r="D34" s="12"/>
      <c r="E34" s="12"/>
      <c r="F34" s="12"/>
      <c r="G34" s="12"/>
      <c r="H34" s="7">
        <v>3002.347902</v>
      </c>
    </row>
    <row r="35" spans="2:8" ht="40" customHeight="1" x14ac:dyDescent="0.35">
      <c r="B35" s="11" t="s">
        <v>12</v>
      </c>
      <c r="C35" s="11" t="s">
        <v>13</v>
      </c>
      <c r="D35" s="14"/>
      <c r="E35" s="9" t="s">
        <v>14</v>
      </c>
      <c r="F35" s="11"/>
      <c r="G35" s="9" t="s">
        <v>14</v>
      </c>
      <c r="H35" s="11"/>
    </row>
    <row r="36" spans="2:8" ht="40" customHeight="1" thickBot="1" x14ac:dyDescent="0.4">
      <c r="B36" s="12"/>
      <c r="C36" s="12"/>
      <c r="D36" s="15"/>
      <c r="E36" s="10">
        <f>2835.766232</f>
        <v>2835.7662319999999</v>
      </c>
      <c r="F36" s="12"/>
      <c r="G36" s="10">
        <f>3765.515977</f>
        <v>3765.515977</v>
      </c>
      <c r="H36" s="12"/>
    </row>
  </sheetData>
  <mergeCells count="13">
    <mergeCell ref="B4:B6"/>
    <mergeCell ref="C4:C6"/>
    <mergeCell ref="B32:B34"/>
    <mergeCell ref="C32:C34"/>
    <mergeCell ref="D32:D34"/>
    <mergeCell ref="H35:H36"/>
    <mergeCell ref="F32:F34"/>
    <mergeCell ref="G32:G34"/>
    <mergeCell ref="B35:B36"/>
    <mergeCell ref="C35:C36"/>
    <mergeCell ref="D35:D36"/>
    <mergeCell ref="F35:F36"/>
    <mergeCell ref="E32:E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Sheet1!_Hlk217673338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Pravinkumar Jagtap</dc:creator>
  <cp:lastModifiedBy>Pravinkumar Jagtap</cp:lastModifiedBy>
  <dcterms:created xsi:type="dcterms:W3CDTF">2015-06-05T18:17:20Z</dcterms:created>
  <dcterms:modified xsi:type="dcterms:W3CDTF">2026-02-10T14:39:33Z</dcterms:modified>
</cp:coreProperties>
</file>